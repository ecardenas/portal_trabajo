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nalisi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  <color rgb="009C0006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DEEED"/>
        <bgColor rgb="00EDEEED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2" borderId="0" applyAlignment="1" pivotButton="0" quotePrefix="0" xfId="0">
      <alignment horizontal="center"/>
    </xf>
    <xf numFmtId="0" fontId="0" fillId="5" borderId="1" pivotButton="0" quotePrefix="0" xfId="0"/>
    <xf numFmtId="0" fontId="4" fillId="3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DASHBOARD DE CALIDAD DE DATOS - COMER PERÚ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3" t="inlineStr">
        <is>
          <t>Índice Global (ICG)
68.08%</t>
        </is>
      </c>
      <c r="D5" s="1" t="n"/>
      <c r="E5" s="4" t="inlineStr">
        <is>
          <t>Completitud</t>
        </is>
      </c>
      <c r="F5" s="1" t="n"/>
      <c r="G5" s="4" t="inlineStr">
        <is>
          <t>Exactitud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D6" s="1" t="n"/>
      <c r="E6" s="5" t="inlineStr">
        <is>
          <t>85.90%</t>
        </is>
      </c>
      <c r="F6" s="1" t="n"/>
      <c r="G6" s="5" t="inlineStr">
        <is>
          <t>70.34%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D7" s="1" t="n"/>
      <c r="E7" s="4" t="inlineStr">
        <is>
          <t>Unicidad</t>
        </is>
      </c>
      <c r="F7" s="1" t="n"/>
      <c r="G7" s="4" t="inlineStr">
        <is>
          <t>Validez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n"/>
      <c r="B8" s="1" t="n"/>
      <c r="C8" s="1" t="n"/>
      <c r="D8" s="1" t="n"/>
      <c r="E8" s="5" t="inlineStr">
        <is>
          <t>48.39%</t>
        </is>
      </c>
      <c r="F8" s="1" t="n"/>
      <c r="G8" s="5" t="inlineStr">
        <is>
          <t>67.68%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4" t="inlineStr">
        <is>
          <t>SELECCIONE CAMPO PARA ANÁLISIS:</t>
        </is>
      </c>
      <c r="C10" s="1" t="n"/>
      <c r="D10" s="6" t="inlineStr">
        <is>
          <t>id_cliente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7" t="inlineStr">
        <is>
          <t>Dimensión</t>
        </is>
      </c>
      <c r="C12" s="7" t="inlineStr">
        <is>
          <t>Resultado</t>
        </is>
      </c>
      <c r="D12" s="7" t="inlineStr">
        <is>
          <t>Veredicto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inlineStr">
        <is>
          <t>Integridad</t>
        </is>
      </c>
      <c r="C13" s="8">
        <f>VLOOKUP($D$10, 'Analisis Detallado'!$A$2:$F$17, 2, FALSE)/100</f>
        <v/>
      </c>
      <c r="D13" s="1">
        <f>IF(C13&gt;0.9, "ALTA", IF(C13&gt;0.75, "MEDIA", "BAJA"))</f>
        <v/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inlineStr">
        <is>
          <t>Exactitud</t>
        </is>
      </c>
      <c r="C14" s="8">
        <f>VLOOKUP($D$10, 'Analisis Detallado'!$A$2:$F$17, 3, FALSE)/100</f>
        <v/>
      </c>
      <c r="D14" s="1">
        <f>IF(C14&gt;0.9, "ALTA", IF(C14&gt;0.75, "MEDIA", "BAJA"))</f>
        <v/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inlineStr">
        <is>
          <t>Unicidad</t>
        </is>
      </c>
      <c r="C15" s="8">
        <f>VLOOKUP($D$10, 'Analisis Detallado'!$A$2:$F$17, 4, FALSE)/100</f>
        <v/>
      </c>
      <c r="D15" s="1">
        <f>IF(C15&gt;0.9, "ALTA", IF(C15&gt;0.75, "MEDIA", "BAJA"))</f>
        <v/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inlineStr">
        <is>
          <t>Validez</t>
        </is>
      </c>
      <c r="C16" s="8">
        <f>VLOOKUP($D$10, 'Analisis Detallado'!$A$2:$F$17, 5, FALSE)/100</f>
        <v/>
      </c>
      <c r="D16" s="1">
        <f>IF(C16&gt;0.9, "ALTA", IF(C16&gt;0.75, "MEDIA", "BAJA"))</f>
        <v/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</sheetData>
  <mergeCells count="2">
    <mergeCell ref="B5:C7"/>
    <mergeCell ref="B2:H3"/>
  </mergeCells>
  <dataValidations count="1">
    <dataValidation sqref="D10" showDropDown="0" showInputMessage="0" showErrorMessage="0" allowBlank="1" type="list">
      <formula1>"id_cliente,ruc,nombre_cliente,monto_venta,tipo_canal,fecha_venta,fecha_aprobacion,edad,genero,sistema_origen,vendedor,codigo_vendedor,producto_id,descuento,stock_actualizado,estado_cliente"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Campo</t>
        </is>
      </c>
      <c r="B1" s="7" t="inlineStr">
        <is>
          <t>Integridad</t>
        </is>
      </c>
      <c r="C1" s="7" t="inlineStr">
        <is>
          <t>Exactitud</t>
        </is>
      </c>
      <c r="D1" s="7" t="inlineStr">
        <is>
          <t>Unicidad</t>
        </is>
      </c>
      <c r="E1" s="7" t="inlineStr">
        <is>
          <t>Validez</t>
        </is>
      </c>
      <c r="F1" s="7" t="inlineStr">
        <is>
          <t>Promedio</t>
        </is>
      </c>
    </row>
    <row r="2">
      <c r="A2" t="inlineStr">
        <is>
          <t>id_cliente</t>
        </is>
      </c>
      <c r="B2" t="n">
        <v>82.97</v>
      </c>
      <c r="C2" t="n">
        <v>82.97</v>
      </c>
      <c r="D2" t="n">
        <v>82.97</v>
      </c>
      <c r="E2" t="n">
        <v>82.97</v>
      </c>
      <c r="F2" t="n">
        <v>82.97</v>
      </c>
    </row>
    <row r="3">
      <c r="A3" t="inlineStr">
        <is>
          <t>ruc</t>
        </is>
      </c>
      <c r="B3" t="n">
        <v>76.59</v>
      </c>
      <c r="C3" t="n">
        <v>76.59</v>
      </c>
      <c r="D3" t="n">
        <v>63.82</v>
      </c>
      <c r="E3" t="n">
        <v>72.34</v>
      </c>
      <c r="F3" t="n">
        <v>72.33500000000001</v>
      </c>
    </row>
    <row r="4">
      <c r="A4" t="inlineStr">
        <is>
          <t>nombre_cliente</t>
        </is>
      </c>
      <c r="B4" t="n">
        <v>95.73999999999999</v>
      </c>
      <c r="C4" t="n">
        <v>93.61</v>
      </c>
      <c r="D4" t="n">
        <v>14.89</v>
      </c>
      <c r="E4" t="n">
        <v>95.73999999999999</v>
      </c>
      <c r="F4" t="n">
        <v>74.995</v>
      </c>
    </row>
    <row r="5">
      <c r="A5" t="inlineStr">
        <is>
          <t>monto_venta</t>
        </is>
      </c>
      <c r="B5" t="n">
        <v>91.48</v>
      </c>
      <c r="C5" t="n">
        <v>72.34</v>
      </c>
      <c r="D5" t="n">
        <v>36.17</v>
      </c>
      <c r="E5" t="n">
        <v>72.34</v>
      </c>
      <c r="F5" t="n">
        <v>68.08250000000001</v>
      </c>
    </row>
    <row r="6">
      <c r="A6" t="inlineStr">
        <is>
          <t>tipo_canal</t>
        </is>
      </c>
      <c r="B6" t="n">
        <v>93.61</v>
      </c>
      <c r="C6" t="n">
        <v>85.09999999999999</v>
      </c>
      <c r="D6" t="n">
        <v>82.97</v>
      </c>
      <c r="E6" t="n">
        <v>85.09999999999999</v>
      </c>
      <c r="F6" t="n">
        <v>86.69499999999999</v>
      </c>
    </row>
    <row r="7">
      <c r="A7" t="inlineStr">
        <is>
          <t>fecha_venta</t>
        </is>
      </c>
      <c r="B7" t="n">
        <v>76.59</v>
      </c>
      <c r="C7" t="n">
        <v>51.06</v>
      </c>
      <c r="D7" t="n">
        <v>42.55</v>
      </c>
      <c r="E7" t="n">
        <v>31.91</v>
      </c>
      <c r="F7" t="n">
        <v>50.5275</v>
      </c>
    </row>
    <row r="8">
      <c r="A8" t="inlineStr">
        <is>
          <t>fecha_aprobacion</t>
        </is>
      </c>
      <c r="B8" t="n">
        <v>76.59</v>
      </c>
      <c r="C8" t="n">
        <v>55.31</v>
      </c>
      <c r="D8" t="n">
        <v>42.55</v>
      </c>
      <c r="E8" t="n">
        <v>31.91</v>
      </c>
      <c r="F8" t="n">
        <v>51.59</v>
      </c>
    </row>
    <row r="9">
      <c r="A9" t="inlineStr">
        <is>
          <t>edad</t>
        </is>
      </c>
      <c r="B9" t="n">
        <v>97.87</v>
      </c>
      <c r="C9" t="n">
        <v>74.45999999999999</v>
      </c>
      <c r="D9" t="n">
        <v>55.31</v>
      </c>
      <c r="E9" t="n">
        <v>74.45999999999999</v>
      </c>
      <c r="F9" t="n">
        <v>75.52499999999999</v>
      </c>
    </row>
    <row r="10">
      <c r="A10" t="inlineStr">
        <is>
          <t>genero</t>
        </is>
      </c>
      <c r="B10" t="n">
        <v>85.09999999999999</v>
      </c>
      <c r="C10" t="n">
        <v>74.45999999999999</v>
      </c>
      <c r="D10" t="n">
        <v>55.31</v>
      </c>
      <c r="E10" t="n">
        <v>74.45999999999999</v>
      </c>
      <c r="F10" t="n">
        <v>72.3325</v>
      </c>
    </row>
    <row r="11">
      <c r="A11" t="inlineStr">
        <is>
          <t>sistema_origen</t>
        </is>
      </c>
      <c r="B11" t="n">
        <v>93.61</v>
      </c>
      <c r="C11" t="n">
        <v>89.36</v>
      </c>
      <c r="D11" t="n">
        <v>78.72</v>
      </c>
      <c r="E11" t="n">
        <v>89.36</v>
      </c>
      <c r="F11" t="n">
        <v>87.7625</v>
      </c>
    </row>
    <row r="12">
      <c r="A12" t="inlineStr">
        <is>
          <t>vendedor</t>
        </is>
      </c>
      <c r="B12" t="n">
        <v>78.72</v>
      </c>
      <c r="C12" t="n">
        <v>68.08</v>
      </c>
      <c r="D12" t="n">
        <v>8.51</v>
      </c>
      <c r="E12" t="n">
        <v>78.72</v>
      </c>
      <c r="F12" t="n">
        <v>58.5075</v>
      </c>
    </row>
    <row r="13">
      <c r="A13" t="inlineStr">
        <is>
          <t>codigo_vendedor</t>
        </is>
      </c>
      <c r="B13" t="n">
        <v>80.84999999999999</v>
      </c>
      <c r="C13" t="n">
        <v>55.31</v>
      </c>
      <c r="D13" t="n">
        <v>57.44</v>
      </c>
      <c r="E13" t="n">
        <v>80.84999999999999</v>
      </c>
      <c r="F13" t="n">
        <v>68.6125</v>
      </c>
    </row>
    <row r="14">
      <c r="A14" t="inlineStr">
        <is>
          <t>producto_id</t>
        </is>
      </c>
      <c r="B14" t="n">
        <v>78.72</v>
      </c>
      <c r="C14" t="n">
        <v>78.72</v>
      </c>
      <c r="D14" t="n">
        <v>76.59</v>
      </c>
      <c r="E14" t="n">
        <v>78.72</v>
      </c>
      <c r="F14" t="n">
        <v>78.1875</v>
      </c>
    </row>
    <row r="15">
      <c r="A15" t="inlineStr">
        <is>
          <t>descuento</t>
        </is>
      </c>
      <c r="B15" t="n">
        <v>85.09999999999999</v>
      </c>
      <c r="C15" t="n">
        <v>51.06</v>
      </c>
      <c r="D15" t="n">
        <v>8.51</v>
      </c>
      <c r="E15" t="n">
        <v>51.06</v>
      </c>
      <c r="F15" t="n">
        <v>48.9325</v>
      </c>
    </row>
    <row r="16">
      <c r="A16" t="inlineStr">
        <is>
          <t>stock_actualizado</t>
        </is>
      </c>
      <c r="B16" t="n">
        <v>80.84999999999999</v>
      </c>
      <c r="C16" t="n">
        <v>48.93</v>
      </c>
      <c r="D16" t="n">
        <v>14.89</v>
      </c>
      <c r="E16" t="n">
        <v>14.89</v>
      </c>
      <c r="F16" t="n">
        <v>39.89</v>
      </c>
    </row>
    <row r="17">
      <c r="A17" t="inlineStr">
        <is>
          <t>estado_cliente</t>
        </is>
      </c>
      <c r="B17" t="n">
        <v>100</v>
      </c>
      <c r="C17" t="n">
        <v>68.08</v>
      </c>
      <c r="D17" t="n">
        <v>53.19</v>
      </c>
      <c r="E17" t="n">
        <v>68.08</v>
      </c>
      <c r="F17" t="n">
        <v>72.33749999999999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2026-04-19T01:29:23Z</dcterms:created>
  <dcterms:modified xsi:type="dcterms:W3CDTF">2026-04-19T01:29:23Z</dcterms:modified>
</cp:coreProperties>
</file>